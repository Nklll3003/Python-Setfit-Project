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er split" sheetId="2" state="visible" r:id="rId4"/>
    <sheet name="Next step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Paper value 88.5 +/- 1.9 (SetFit MPNet, N=8, Customer Reviews) came from a tool summary of Table 2. Verify against the paper before citing.</t>
        </r>
      </text>
    </comment>
  </commentList>
</comments>
</file>

<file path=xl/sharedStrings.xml><?xml version="1.0" encoding="utf-8"?>
<sst xmlns="http://schemas.openxmlformats.org/spreadsheetml/2006/main" count="66" uniqueCount="58">
  <si>
    <t xml:space="preserve">SetFit multi-seed results (10 random splits, 16 training examples)</t>
  </si>
  <si>
    <t xml:space="preserve">Dataset</t>
  </si>
  <si>
    <t xml:space="preserve">Mean accuracy (%)</t>
  </si>
  <si>
    <t xml:space="preserve">SD (%)</t>
  </si>
  <si>
    <t xml:space="preserve">Min (%)</t>
  </si>
  <si>
    <t xml:space="preserve">Max (%)</t>
  </si>
  <si>
    <t xml:space="preserve">Test size</t>
  </si>
  <si>
    <t xml:space="preserve">Customer Reviews (this replication)</t>
  </si>
  <si>
    <t xml:space="preserve">Customer Reviews (paper, Table 2)</t>
  </si>
  <si>
    <t xml:space="preserve">Spotify (draft labels)</t>
  </si>
  <si>
    <t xml:space="preserve">Comparison</t>
  </si>
  <si>
    <t xml:space="preserve">Replication minus paper (points)</t>
  </si>
  <si>
    <t xml:space="preserve">Paper mean - 1 SD (%)</t>
  </si>
  <si>
    <t xml:space="preserve">Paper mean + 1 SD (%)</t>
  </si>
  <si>
    <t xml:space="preserve">Replication mean within paper +/- 1 SD?</t>
  </si>
  <si>
    <t xml:space="preserve">Spotify minus Customer Reviews (points)</t>
  </si>
  <si>
    <t xml:space="preserve">Spotify standard error (SD / sqrt(10))</t>
  </si>
  <si>
    <t xml:space="preserve">Reading the results</t>
  </si>
  <si>
    <t xml:space="preserve">Customer Reviews: the replication mean sits inside the paper's +/- 1 SD range, so the paper's result is reproduced closely. Our SD is smaller (10 splits only).</t>
  </si>
  <si>
    <t xml:space="preserve">Spotify: mean is about 2 points lower than Customer Reviews, but the SD is 4.6 and the best and worst splits differ by about 15 points, so the gap is not clearly real.</t>
  </si>
  <si>
    <t xml:space="preserve">The earlier single run (90.1% on Spotify) is inside this range but above the mean. Use the multi-seed mean in the report.</t>
  </si>
  <si>
    <t xml:space="preserve">Paper hyperparameters may differ from ours (batch_size 8, num_iterations 10). Check the paper's setup section and state any difference.</t>
  </si>
  <si>
    <t xml:space="preserve">Spotify labels are drafts. Re-run setfit_spotify_multiseed.py after verifying labels (delete spotify_multiseed_runs.csv first).</t>
  </si>
  <si>
    <t xml:space="preserve">Seed</t>
  </si>
  <si>
    <t xml:space="preserve">Customer Reviews accuracy (%)</t>
  </si>
  <si>
    <t xml:space="preserve">Spotify accuracy (%)</t>
  </si>
  <si>
    <t xml:space="preserve">Spotify macro-F1 (%)</t>
  </si>
  <si>
    <t xml:space="preserve">Spotify errors (of 192)</t>
  </si>
  <si>
    <t xml:space="preserve">Source: terminal output of setfit_customer_reviews_multiseed.py and setfit_spotify_multiseed.py (run 18/10/2026). Blue = values copied from the run output.</t>
  </si>
  <si>
    <t xml:space="preserve">Spotify labels are drafts (not yet verified by hand). Customer Reviews accuracies are the one-decimal values printed in the results file.</t>
  </si>
  <si>
    <t xml:space="preserve">#</t>
  </si>
  <si>
    <t xml:space="preserve">Step</t>
  </si>
  <si>
    <t xml:space="preserve">Status</t>
  </si>
  <si>
    <t xml:space="preserve">Notes</t>
  </si>
  <si>
    <t xml:space="preserve">Public GitHub repository with scripts and README</t>
  </si>
  <si>
    <t xml:space="preserve">Uploaded; README and new files to add</t>
  </si>
  <si>
    <t xml:space="preserve">Add multi-seed scripts, run CSVs and results files</t>
  </si>
  <si>
    <t xml:space="preserve">Customer Reviews, 10 splits</t>
  </si>
  <si>
    <t xml:space="preserve">Done</t>
  </si>
  <si>
    <t xml:space="preserve">90.0 +/- 1.0 vs paper 88.5 +/- 1.9</t>
  </si>
  <si>
    <t xml:space="preserve">Spotify, 10 splits (draft labels)</t>
  </si>
  <si>
    <t xml:space="preserve">88.0 +/- 4.6; re-run after label check</t>
  </si>
  <si>
    <t xml:space="preserve">Second existing dataset (Financial PhraseBank)</t>
  </si>
  <si>
    <t xml:space="preserve">To do</t>
  </si>
  <si>
    <t xml:space="preserve">Write script, run 10 splits</t>
  </si>
  <si>
    <t xml:space="preserve">Verify Spotify labels by hand (321 rows, 19 error rows, 52 excluded)</t>
  </si>
  <si>
    <t xml:space="preserve">Start with spotify_experiment_errors.csv</t>
  </si>
  <si>
    <t xml:space="preserve">Agreement measure (Cohen's kappa)</t>
  </si>
  <si>
    <t xml:space="preserve">Your labels vs drafts, or a second annotator on a subset</t>
  </si>
  <si>
    <t xml:space="preserve">LLM-as-judge</t>
  </si>
  <si>
    <t xml:space="preserve">Design where it fits in the evaluation</t>
  </si>
  <si>
    <t xml:space="preserve">Re-run Spotify with verified labels; update error analysis</t>
  </si>
  <si>
    <t xml:space="preserve">Delete spotify_multiseed_runs.csv first</t>
  </si>
  <si>
    <t xml:space="preserve">Write report in LaTeX (ACL template, Overleaf)</t>
  </si>
  <si>
    <t xml:space="preserve">Main body at most 10 pages</t>
  </si>
  <si>
    <t xml:space="preserve">Check references, page length, rubric, public repo</t>
  </si>
  <si>
    <t xml:space="preserve">Submit PDF to iLearn dropbox</t>
  </si>
  <si>
    <t xml:space="preserve">Due 11:55 PM, 06/11/26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</si>
</sst>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\+0.0;\-0.0;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i val="true"/>
      <sz val="11"/>
      <color rgb="FF6A717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B"/>
      </left>
      <right style="thin">
        <color rgb="FFD9D5CB"/>
      </right>
      <top style="thin">
        <color rgb="FFD9D5CB"/>
      </top>
      <bottom style="thin">
        <color rgb="FFD9D5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5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717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</cols>
  <sheetData>
    <row r="1" customFormat="false" ht="16.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f aca="false">AVERAGE('Per split'!B2:B11)</f>
        <v>89.97</v>
      </c>
      <c r="C4" s="4" t="n">
        <f aca="false">STDEV('Per split'!B2:B11)</f>
        <v>0.966149286831208</v>
      </c>
      <c r="D4" s="4" t="n">
        <f aca="false">MIN('Per split'!B2:B11)</f>
        <v>88.8</v>
      </c>
      <c r="E4" s="4" t="n">
        <f aca="false">MAX('Per split'!B2:B11)</f>
        <v>91.5</v>
      </c>
      <c r="F4" s="5" t="n">
        <v>376</v>
      </c>
    </row>
    <row r="5" customFormat="false" ht="15" hidden="false" customHeight="false" outlineLevel="0" collapsed="false">
      <c r="A5" s="3" t="s">
        <v>8</v>
      </c>
      <c r="B5" s="6" t="n">
        <v>88.5</v>
      </c>
      <c r="C5" s="6" t="n">
        <v>1.9</v>
      </c>
      <c r="D5" s="7"/>
      <c r="E5" s="7"/>
      <c r="F5" s="8"/>
    </row>
    <row r="6" customFormat="false" ht="15" hidden="false" customHeight="false" outlineLevel="0" collapsed="false">
      <c r="A6" s="3" t="s">
        <v>9</v>
      </c>
      <c r="B6" s="4" t="n">
        <f aca="false">AVERAGE('Per split'!C2:C11)</f>
        <v>87.969</v>
      </c>
      <c r="C6" s="4" t="n">
        <f aca="false">STDEV('Per split'!C2:C11)</f>
        <v>4.56279750932595</v>
      </c>
      <c r="D6" s="4" t="n">
        <f aca="false">MIN('Per split'!C2:C11)</f>
        <v>79.69</v>
      </c>
      <c r="E6" s="4" t="n">
        <f aca="false">MAX('Per split'!C2:C11)</f>
        <v>95.31</v>
      </c>
      <c r="F6" s="5" t="n">
        <v>192</v>
      </c>
    </row>
    <row r="8" customFormat="false" ht="15" hidden="false" customHeight="false" outlineLevel="0" collapsed="false">
      <c r="A8" s="9" t="s">
        <v>10</v>
      </c>
    </row>
    <row r="9" customFormat="false" ht="15" hidden="false" customHeight="false" outlineLevel="0" collapsed="false">
      <c r="A9" s="10" t="s">
        <v>11</v>
      </c>
      <c r="B9" s="11" t="n">
        <f aca="false">B4-B5</f>
        <v>1.47</v>
      </c>
    </row>
    <row r="10" customFormat="false" ht="15" hidden="false" customHeight="false" outlineLevel="0" collapsed="false">
      <c r="A10" s="10" t="s">
        <v>12</v>
      </c>
      <c r="B10" s="12" t="n">
        <f aca="false">B5-C5</f>
        <v>86.6</v>
      </c>
    </row>
    <row r="11" customFormat="false" ht="15" hidden="false" customHeight="false" outlineLevel="0" collapsed="false">
      <c r="A11" s="10" t="s">
        <v>13</v>
      </c>
      <c r="B11" s="12" t="n">
        <f aca="false">B5+C5</f>
        <v>90.4</v>
      </c>
    </row>
    <row r="12" customFormat="false" ht="15" hidden="false" customHeight="false" outlineLevel="0" collapsed="false">
      <c r="A12" s="10" t="s">
        <v>14</v>
      </c>
      <c r="B12" s="12" t="str">
        <f aca="false">IF(AND(B4&gt;=B10,B4&lt;=B11),"Yes","No")</f>
        <v>Yes</v>
      </c>
    </row>
    <row r="13" customFormat="false" ht="15" hidden="false" customHeight="false" outlineLevel="0" collapsed="false">
      <c r="A13" s="10" t="s">
        <v>15</v>
      </c>
      <c r="B13" s="11" t="n">
        <f aca="false">B6-B4</f>
        <v>-2.00099999999999</v>
      </c>
    </row>
    <row r="14" customFormat="false" ht="15" hidden="false" customHeight="false" outlineLevel="0" collapsed="false">
      <c r="A14" s="10" t="s">
        <v>16</v>
      </c>
      <c r="B14" s="12" t="n">
        <f aca="false">C6/SQRT(10)</f>
        <v>1.44288326316134</v>
      </c>
    </row>
    <row r="16" customFormat="false" ht="15" hidden="false" customHeight="false" outlineLevel="0" collapsed="false">
      <c r="A16" s="9" t="s">
        <v>17</v>
      </c>
    </row>
    <row r="17" customFormat="false" ht="31.5" hidden="false" customHeight="true" outlineLevel="0" collapsed="false">
      <c r="A17" s="13" t="s">
        <v>18</v>
      </c>
      <c r="B17" s="13"/>
      <c r="C17" s="13"/>
      <c r="D17" s="13"/>
      <c r="E17" s="13"/>
      <c r="F17" s="13"/>
    </row>
    <row r="18" customFormat="false" ht="31.5" hidden="false" customHeight="true" outlineLevel="0" collapsed="false">
      <c r="A18" s="13" t="s">
        <v>19</v>
      </c>
      <c r="B18" s="13"/>
      <c r="C18" s="13"/>
      <c r="D18" s="13"/>
      <c r="E18" s="13"/>
      <c r="F18" s="13"/>
    </row>
    <row r="19" customFormat="false" ht="31.5" hidden="false" customHeight="true" outlineLevel="0" collapsed="false">
      <c r="A19" s="13" t="s">
        <v>20</v>
      </c>
      <c r="B19" s="13"/>
      <c r="C19" s="13"/>
      <c r="D19" s="13"/>
      <c r="E19" s="13"/>
      <c r="F19" s="13"/>
    </row>
    <row r="20" customFormat="false" ht="31.5" hidden="false" customHeight="true" outlineLevel="0" collapsed="false">
      <c r="A20" s="13" t="s">
        <v>21</v>
      </c>
      <c r="B20" s="13"/>
      <c r="C20" s="13"/>
      <c r="D20" s="13"/>
      <c r="E20" s="13"/>
      <c r="F20" s="13"/>
    </row>
    <row r="21" customFormat="false" ht="31.5" hidden="false" customHeight="true" outlineLevel="0" collapsed="false">
      <c r="A21" s="13" t="s">
        <v>22</v>
      </c>
      <c r="B21" s="13"/>
      <c r="C21" s="13"/>
      <c r="D21" s="13"/>
      <c r="E21" s="13"/>
      <c r="F21" s="13"/>
    </row>
  </sheetData>
  <mergeCells count="5"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5" min="3" style="0" width="22"/>
  </cols>
  <sheetData>
    <row r="1" customFormat="false" ht="33.75" hidden="false" customHeight="true" outlineLevel="0" collapsed="false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</row>
    <row r="2" customFormat="false" ht="15" hidden="false" customHeight="false" outlineLevel="0" collapsed="false">
      <c r="A2" s="14" t="n">
        <v>0</v>
      </c>
      <c r="B2" s="6" t="n">
        <v>90.4</v>
      </c>
      <c r="C2" s="6" t="n">
        <v>88.02</v>
      </c>
      <c r="D2" s="6" t="n">
        <v>87.98</v>
      </c>
      <c r="E2" s="5" t="n">
        <v>23</v>
      </c>
    </row>
    <row r="3" customFormat="false" ht="15" hidden="false" customHeight="false" outlineLevel="0" collapsed="false">
      <c r="A3" s="14" t="n">
        <v>1</v>
      </c>
      <c r="B3" s="6" t="n">
        <v>91.2</v>
      </c>
      <c r="C3" s="6" t="n">
        <v>83.33</v>
      </c>
      <c r="D3" s="6" t="n">
        <v>83.33</v>
      </c>
      <c r="E3" s="5" t="n">
        <v>32</v>
      </c>
    </row>
    <row r="4" customFormat="false" ht="15" hidden="false" customHeight="false" outlineLevel="0" collapsed="false">
      <c r="A4" s="14" t="n">
        <v>2</v>
      </c>
      <c r="B4" s="6" t="n">
        <v>90.7</v>
      </c>
      <c r="C4" s="6" t="n">
        <v>85.94</v>
      </c>
      <c r="D4" s="6" t="n">
        <v>85.93</v>
      </c>
      <c r="E4" s="5" t="n">
        <v>27</v>
      </c>
    </row>
    <row r="5" customFormat="false" ht="15" hidden="false" customHeight="false" outlineLevel="0" collapsed="false">
      <c r="A5" s="14" t="n">
        <v>3</v>
      </c>
      <c r="B5" s="6" t="n">
        <v>89.1</v>
      </c>
      <c r="C5" s="6" t="n">
        <v>90.62</v>
      </c>
      <c r="D5" s="6" t="n">
        <v>90.62</v>
      </c>
      <c r="E5" s="5" t="n">
        <v>18</v>
      </c>
    </row>
    <row r="6" customFormat="false" ht="15" hidden="false" customHeight="false" outlineLevel="0" collapsed="false">
      <c r="A6" s="14" t="n">
        <v>4</v>
      </c>
      <c r="B6" s="6" t="n">
        <v>89.1</v>
      </c>
      <c r="C6" s="6" t="n">
        <v>92.19</v>
      </c>
      <c r="D6" s="6" t="n">
        <v>92.16</v>
      </c>
      <c r="E6" s="5" t="n">
        <v>15</v>
      </c>
    </row>
    <row r="7" customFormat="false" ht="15" hidden="false" customHeight="false" outlineLevel="0" collapsed="false">
      <c r="A7" s="14" t="n">
        <v>5</v>
      </c>
      <c r="B7" s="6" t="n">
        <v>91.5</v>
      </c>
      <c r="C7" s="6" t="n">
        <v>85.94</v>
      </c>
      <c r="D7" s="6" t="n">
        <v>85.91</v>
      </c>
      <c r="E7" s="5" t="n">
        <v>27</v>
      </c>
    </row>
    <row r="8" customFormat="false" ht="15" hidden="false" customHeight="false" outlineLevel="0" collapsed="false">
      <c r="A8" s="14" t="n">
        <v>6</v>
      </c>
      <c r="B8" s="6" t="n">
        <v>89.1</v>
      </c>
      <c r="C8" s="6" t="n">
        <v>91.15</v>
      </c>
      <c r="D8" s="6" t="n">
        <v>91.09</v>
      </c>
      <c r="E8" s="5" t="n">
        <v>17</v>
      </c>
    </row>
    <row r="9" customFormat="false" ht="15" hidden="false" customHeight="false" outlineLevel="0" collapsed="false">
      <c r="A9" s="14" t="n">
        <v>7</v>
      </c>
      <c r="B9" s="6" t="n">
        <v>90.2</v>
      </c>
      <c r="C9" s="6" t="n">
        <v>95.31</v>
      </c>
      <c r="D9" s="6" t="n">
        <v>95.31</v>
      </c>
      <c r="E9" s="5" t="n">
        <v>9</v>
      </c>
    </row>
    <row r="10" customFormat="false" ht="15" hidden="false" customHeight="false" outlineLevel="0" collapsed="false">
      <c r="A10" s="14" t="n">
        <v>8</v>
      </c>
      <c r="B10" s="6" t="n">
        <v>89.6</v>
      </c>
      <c r="C10" s="6" t="n">
        <v>79.69</v>
      </c>
      <c r="D10" s="6" t="n">
        <v>79.53</v>
      </c>
      <c r="E10" s="5" t="n">
        <v>39</v>
      </c>
    </row>
    <row r="11" customFormat="false" ht="15" hidden="false" customHeight="false" outlineLevel="0" collapsed="false">
      <c r="A11" s="14" t="n">
        <v>9</v>
      </c>
      <c r="B11" s="6" t="n">
        <v>88.8</v>
      </c>
      <c r="C11" s="6" t="n">
        <v>87.5</v>
      </c>
      <c r="D11" s="6" t="n">
        <v>87.43</v>
      </c>
      <c r="E11" s="5" t="n">
        <v>24</v>
      </c>
    </row>
    <row r="13" customFormat="false" ht="15" hidden="false" customHeight="false" outlineLevel="0" collapsed="false">
      <c r="A13" s="15" t="s">
        <v>28</v>
      </c>
    </row>
    <row r="14" customFormat="false" ht="15" hidden="false" customHeight="false" outlineLevel="0" collapsed="false">
      <c r="A14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6" t="s">
        <v>30</v>
      </c>
      <c r="B1" s="16" t="s">
        <v>31</v>
      </c>
      <c r="C1" s="16" t="s">
        <v>32</v>
      </c>
      <c r="D1" s="16" t="s">
        <v>33</v>
      </c>
    </row>
    <row r="2" customFormat="false" ht="26.85" hidden="false" customHeight="false" outlineLevel="0" collapsed="false">
      <c r="A2" s="17" t="n">
        <v>1</v>
      </c>
      <c r="B2" s="17" t="s">
        <v>34</v>
      </c>
      <c r="C2" s="17" t="s">
        <v>35</v>
      </c>
      <c r="D2" s="17" t="s">
        <v>36</v>
      </c>
    </row>
    <row r="3" customFormat="false" ht="15" hidden="false" customHeight="false" outlineLevel="0" collapsed="false">
      <c r="A3" s="17" t="n">
        <v>2</v>
      </c>
      <c r="B3" s="17" t="s">
        <v>37</v>
      </c>
      <c r="C3" s="17" t="s">
        <v>38</v>
      </c>
      <c r="D3" s="17" t="s">
        <v>39</v>
      </c>
    </row>
    <row r="4" customFormat="false" ht="15" hidden="false" customHeight="false" outlineLevel="0" collapsed="false">
      <c r="A4" s="17" t="n">
        <v>3</v>
      </c>
      <c r="B4" s="17" t="s">
        <v>40</v>
      </c>
      <c r="C4" s="17" t="s">
        <v>38</v>
      </c>
      <c r="D4" s="17" t="s">
        <v>41</v>
      </c>
    </row>
    <row r="5" customFormat="false" ht="15" hidden="false" customHeight="false" outlineLevel="0" collapsed="false">
      <c r="A5" s="17" t="n">
        <v>4</v>
      </c>
      <c r="B5" s="17" t="s">
        <v>42</v>
      </c>
      <c r="C5" s="17" t="s">
        <v>43</v>
      </c>
      <c r="D5" s="17" t="s">
        <v>44</v>
      </c>
    </row>
    <row r="6" customFormat="false" ht="26.85" hidden="false" customHeight="false" outlineLevel="0" collapsed="false">
      <c r="A6" s="17" t="n">
        <v>5</v>
      </c>
      <c r="B6" s="17" t="s">
        <v>45</v>
      </c>
      <c r="C6" s="17" t="s">
        <v>43</v>
      </c>
      <c r="D6" s="17" t="s">
        <v>46</v>
      </c>
    </row>
    <row r="7" customFormat="false" ht="26.85" hidden="false" customHeight="false" outlineLevel="0" collapsed="false">
      <c r="A7" s="17" t="n">
        <v>6</v>
      </c>
      <c r="B7" s="17" t="s">
        <v>47</v>
      </c>
      <c r="C7" s="17" t="s">
        <v>43</v>
      </c>
      <c r="D7" s="17" t="s">
        <v>48</v>
      </c>
    </row>
    <row r="8" customFormat="false" ht="15" hidden="false" customHeight="false" outlineLevel="0" collapsed="false">
      <c r="A8" s="17" t="n">
        <v>7</v>
      </c>
      <c r="B8" s="17" t="s">
        <v>49</v>
      </c>
      <c r="C8" s="17" t="s">
        <v>43</v>
      </c>
      <c r="D8" s="17" t="s">
        <v>50</v>
      </c>
    </row>
    <row r="9" customFormat="false" ht="15" hidden="false" customHeight="false" outlineLevel="0" collapsed="false">
      <c r="A9" s="17" t="n">
        <v>8</v>
      </c>
      <c r="B9" s="17" t="s">
        <v>51</v>
      </c>
      <c r="C9" s="17" t="s">
        <v>43</v>
      </c>
      <c r="D9" s="17" t="s">
        <v>52</v>
      </c>
    </row>
    <row r="10" customFormat="false" ht="15" hidden="false" customHeight="false" outlineLevel="0" collapsed="false">
      <c r="A10" s="17" t="n">
        <v>9</v>
      </c>
      <c r="B10" s="17" t="s">
        <v>53</v>
      </c>
      <c r="C10" s="17" t="s">
        <v>43</v>
      </c>
      <c r="D10" s="17" t="s">
        <v>54</v>
      </c>
    </row>
    <row r="11" customFormat="false" ht="15" hidden="false" customHeight="false" outlineLevel="0" collapsed="false">
      <c r="A11" s="17" t="n">
        <v>10</v>
      </c>
      <c r="B11" s="17" t="s">
        <v>55</v>
      </c>
      <c r="C11" s="17" t="s">
        <v>43</v>
      </c>
      <c r="D11" s="17"/>
    </row>
    <row r="12" customFormat="false" ht="15" hidden="false" customHeight="false" outlineLevel="0" collapsed="false">
      <c r="A12" s="17" t="n">
        <v>11</v>
      </c>
      <c r="B12" s="17" t="s">
        <v>56</v>
      </c>
      <c r="C12" s="17" t="s">
        <v>43</v>
      </c>
      <c r="D12" s="1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2026-10-18T00:21:07Z</dcterms:created>
  <dc:creator>openpyxl</dc:creator>
  <dc:description/>
  <dc:language>en-US</dc:language>
  <cp:lastModifiedBy/>
  <dcterms:modified xsi:type="dcterms:W3CDTF">2026-10-18T00:21:07Z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